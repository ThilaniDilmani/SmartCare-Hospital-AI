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sanka\Downloads\"/>
    </mc:Choice>
  </mc:AlternateContent>
  <xr:revisionPtr revIDLastSave="0" documentId="8_{14D69D56-8379-4DB9-B59B-BC9435363699}" xr6:coauthVersionLast="47" xr6:coauthVersionMax="47" xr10:uidLastSave="{00000000-0000-0000-0000-000000000000}"/>
  <bookViews>
    <workbookView xWindow="-108" yWindow="-108" windowWidth="23256" windowHeight="12456" xr2:uid="{00000000-000D-0000-FFFF-FFFF00000000}"/>
  </bookViews>
  <sheets>
    <sheet name="Detailed Matrix" sheetId="1" r:id="rId1"/>
  </sheets>
  <calcPr calcId="191029"/>
  <fileRecoveryPr repairLoad="1"/>
</workbook>
</file>

<file path=xl/calcChain.xml><?xml version="1.0" encoding="utf-8"?>
<calcChain xmlns="http://schemas.openxmlformats.org/spreadsheetml/2006/main">
  <c r="S11" i="1" l="1"/>
  <c r="S10" i="1"/>
  <c r="S9" i="1"/>
  <c r="S8" i="1"/>
  <c r="S7" i="1"/>
  <c r="S6" i="1"/>
  <c r="S5" i="1"/>
  <c r="S4" i="1"/>
</calcChain>
</file>

<file path=xl/sharedStrings.xml><?xml version="1.0" encoding="utf-8"?>
<sst xmlns="http://schemas.openxmlformats.org/spreadsheetml/2006/main" count="149" uniqueCount="130">
  <si>
    <t>Detailed Research Paper Review Matrix - SmartCare Disease Risk Classification</t>
  </si>
  <si>
    <t>Eight peer-reviewed papers analysed using a consistent evidence-extraction structure. One paper is presented per row.</t>
  </si>
  <si>
    <t>Paper ID</t>
  </si>
  <si>
    <t>Paper Title</t>
  </si>
  <si>
    <t>Authors</t>
  </si>
  <si>
    <t>Publication Year</t>
  </si>
  <si>
    <t>Journal / Conference</t>
  </si>
  <si>
    <t>Source Type</t>
  </si>
  <si>
    <t>Research Area</t>
  </si>
  <si>
    <t>Keywords</t>
  </si>
  <si>
    <t>Methodology</t>
  </si>
  <si>
    <t>Dataset / Link</t>
  </si>
  <si>
    <t>Key Findings</t>
  </si>
  <si>
    <t>Research Gap</t>
  </si>
  <si>
    <t>Future Work</t>
  </si>
  <si>
    <t>Relevance to My Study</t>
  </si>
  <si>
    <t>Quality Score</t>
  </si>
  <si>
    <t>Reading Status</t>
  </si>
  <si>
    <t>Priority</t>
  </si>
  <si>
    <t>Notes / Actions</t>
  </si>
  <si>
    <t>Source Link</t>
  </si>
  <si>
    <t>P01</t>
  </si>
  <si>
    <t>Predicting and Classifying Type 2 Diabetes Using a Transparent Ensemble Model Combining Random Forest, K-Nearest Neighbor, and Neural Networks</t>
  </si>
  <si>
    <t>Niloufar Zaferani; Mohammad Reza Afrash; Khadijeh Moulaei</t>
  </si>
  <si>
    <t>Scientific Reports, 16, Article 1892</t>
  </si>
  <si>
    <t>Peer-reviewed journal article</t>
  </si>
  <si>
    <t>Multiclass Type 2 diabetes classification; explainable ensemble machine learning</t>
  </si>
  <si>
    <t>Type 2 diabetes; prediction; artificial intelligence; transparent ensemble learning; SHAP; LIME</t>
  </si>
  <si>
    <t>Supervised multiclass classification. Mean imputation and Min-Max normalization were applied, followed by Spearman-based feature selection. Neural Network, KNN and Random Forest base models were combined through stacking with Logistic Regression and soft voting. Automated hyperparameter tuning, 5x5 nested cross-validation, calibration, decision-curve analysis, bootstrap confidence intervals, LIME and SHAP were used.</t>
  </si>
  <si>
    <t>Pima Indians Diabetes Database: 768 records and 8 clinical features. The authors relabelled records into Normal, Prediabetes and Diabetes classes using fasting-glucose thresholds.
Dataset URL:
https://www.kaggle.com/datasets/uciml/pima-indians-diabetes-database</t>
  </si>
  <si>
    <t>The stacking ensemble reported the strongest and best-calibrated performance; Random Forest also performed strongly. Glucose, BMI and blood pressure were the most influential variables. The three-class outcome is directly relevant to graded risk classification.</t>
  </si>
  <si>
    <t>The dataset is small and represents a narrow population. The extremely high scores require cautious interpretation because glucose was used to construct the class labels and was also retained as an input, creating a potential outcome-leakage concern for independent prediction.</t>
  </si>
  <si>
    <t>Validate the framework using larger, more diverse, multicentre and longitudinal patient datasets, and extend it to other chronic diseases.</t>
  </si>
  <si>
    <t>Very high. It provides the closest methodological example for the proposed Low/Medium/High disease-risk project because it uses three clinical classes, routine features, multiple models, explainability and multiclass metrics.</t>
  </si>
  <si>
    <t>Reviewed</t>
  </si>
  <si>
    <t>Highest</t>
  </si>
  <si>
    <t>Use as the primary paper for multiclass justification and ensemble/XAI discussion. Mention the possible glucose-label leakage as a critical evaluation point rather than copying the reported perfect results uncritically.
Local evidence file: s41598-025-31562-5.pdf</t>
  </si>
  <si>
    <t>P02</t>
  </si>
  <si>
    <t>Interpretable Machine Learning Method to Predict the Risk of Pre-Diabetes Using a National-Wide Cross-Sectional Data: Evidence from CHNS</t>
  </si>
  <si>
    <t>Xiaolong Li; Fan Ding; Lu Zhang; Shi Zhao; Zengyun Hu; Zhanbing Ma; Feng Li; Yuhong Zhang; Yi Zhao; Yu Zhao</t>
  </si>
  <si>
    <t>BMC Public Health, 25, Article 1145</t>
  </si>
  <si>
    <t>Prediabetes risk prediction; interpretable machine learning; public-health screening</t>
  </si>
  <si>
    <t>Pre-diabetes; LASSO regression; XGBoost; prediction; SHAP; CHNS</t>
  </si>
  <si>
    <t>LASSO selected nine predictors from 30 candidate factors. Logistic Regression, Random Forest, SVM, Naive Bayes, Artificial Neural Network, Decision Tree and XGBoost were compared. Class imbalance was addressed through oversampling. SHAP was used for global and individual interpretation, and NHANES data were used for external assessment.</t>
  </si>
  <si>
    <t>China Health and Nutrition Survey (CHNS): 8,277 participants with 7.13% prediabetes prevalence. External assessment used United States NHANES data.
CHNS URL:
https://www.cpc.unc.edu/projects/china
NHANES URL:
https://wwwn.cdc.gov/nchs/nhanes/</t>
  </si>
  <si>
    <t>XGBoost achieved the best reported AUC of 0.939. Important predictors included age, BMI, total cholesterol, ApoB, triglycerides, hypertension, total protein, HDL-C and white-blood-cell count. SHAP provided clinically understandable risk thresholds and feature effects.</t>
  </si>
  <si>
    <t>The analysis is cross-sectional and regional differences between CHNS and NHANES may reduce transportability. Genetic variables and some potentially useful biochemical markers were not included, and prediction does not establish causal mechanisms.</t>
  </si>
  <si>
    <t>Test the model across more diverse populations; add genetic, metabolomic and additional biochemical variables; and combine machine learning with causal-inference methods.</t>
  </si>
  <si>
    <t>Very high. It uses routine clinical factors, compares seven common classifiers, addresses class imbalance and demonstrates explainable risk prediction, all of which support the proposed project methodology.</t>
  </si>
  <si>
    <t>High</t>
  </si>
  <si>
    <t>Use for feature-selection, class-imbalance and SHAP sections. Cite the AUC and nine predictors, while noting that the output is binary prediabetes risk rather than Low/Medium/High general disease risk.
Local evidence file: s12889-025-22419-7.pdf</t>
  </si>
  <si>
    <t>P03</t>
  </si>
  <si>
    <t>Machine Learning for Characterizing Risk of Type 2 Diabetes Mellitus in a Rural Chinese Population: The Henan Rural Cohort Study</t>
  </si>
  <si>
    <t>Liying Zhang; Yikang Wang; Miaomiao Niu; Chongjian Wang; Zhenfei Wang</t>
  </si>
  <si>
    <t>Scientific Reports, 10, Article 4406</t>
  </si>
  <si>
    <t>Type 2 diabetes risk characterisation in a large rural population</t>
  </si>
  <si>
    <t>Type 2 diabetes mellitus; machine learning; risk prediction; rural population; SHAP; gradient boosting</t>
  </si>
  <si>
    <t>Six supervised models were compared: Logistic Regression, CART, Artificial Neural Network, SVM, Random Forest and Gradient Boosting Machine. Models were tested with and without laboratory variables and with fixed versus increasing feature sets. Performance measures included ROC-AUC, sensitivity, specificity, PPV, NPV and PR-AUC; SHAP supported variable interpretation.</t>
  </si>
  <si>
    <t>Henan Rural Cohort Study: 36,652 eligible rural Chinese participants. Models were developed with and without laboratory variables.
No independent public dataset-download URL is stated. Data are provided in the paper/supporting information; additional access requires contacting the study team.</t>
  </si>
  <si>
    <t>Gradient Boosting performed best, with AUC 0.872 using laboratory data and 0.817 without laboratory data. Performance generally plateaued after approximately 30 variables. Important predictors included age, urine glucose, waist circumference, heart rate, creatinine, pulse pressure, insulin and hypertension.</t>
  </si>
  <si>
    <t>Cross-sectional data prevent temporal or causal conclusions. The model lacked independent external validation and retained black-box interpretability limitations. The rural Chinese sample may not generalise to other populations.</t>
  </si>
  <si>
    <t>Conduct external validation, include follow-up/longitudinal data, assess additional algorithms and improve interpretation of variable interactions.</t>
  </si>
  <si>
    <t>Very high. The large clinical dataset, comparison of six algorithms, models with/without laboratory tests and broad evaluation metrics provide a strong benchmark for SmartCare model comparison.</t>
  </si>
  <si>
    <t>Use as evidence that boosting can outperform conventional methods and that a smaller clinically practical feature set can retain performance. Contrast its binary T2DM outcome with the proposed three-level target.
Local evidence file: s41598-020-61123-x.pdf</t>
  </si>
  <si>
    <t>P04</t>
  </si>
  <si>
    <t>A Data-Driven Approach to Predicting Diabetes and Cardiovascular Disease with Machine Learning</t>
  </si>
  <si>
    <t>An Dinh; Stacey Miertschin; Amber Young; Somya D. Mohanty</t>
  </si>
  <si>
    <t>BMC Medical Informatics and Decision Making, 19, Article 211</t>
  </si>
  <si>
    <t>Diabetes, prediabetes and cardiovascular disease detection using survey and laboratory data</t>
  </si>
  <si>
    <t>Machine learning; health analytics; ensemble learning; feature learning; NHANES</t>
  </si>
  <si>
    <t>NHANES cycles were harmonised and processed into diabetes, prediabetes and cardiovascular datasets with laboratory and non-laboratory variants. Logistic Regression, SVM, Random Forest and Gradient Boosting/XGBoost were evaluated, and a weighted ensemble combined model probabilities. Downsampling addressed class imbalance; information gain identified important variables.</t>
  </si>
  <si>
    <t>United States NHANES data across multiple survey cycles. Separate diabetes, prediabetes and cardiovascular-disease datasets were created, with up to 168 diabetes variables and 131 cardiovascular variables.
Dataset URL:
https://wwwn.cdc.gov/nchs/nhanes/</t>
  </si>
  <si>
    <t>For diabetes, XGBoost achieved AUROC 0.862 without laboratory data and 0.957 with laboratory data. Prediabetes reached AUROC 0.737 without laboratory data and 0.844 with laboratory data. Cardiovascular weighted ensemble performance was approximately 0.831 AUROC without laboratory data. Age, waist size and blood pressure were among the major predictors.</t>
  </si>
  <si>
    <t>The models detect cross-sectional disease status rather than future onset. Results depend on extensive preprocessing across NHANES cycles, and laboratory-rich models may be less practical. Independent clinical validation and prospective deployment were not demonstrated.</t>
  </si>
  <si>
    <t>Evaluate electronic health-record variables, develop more accurate models and translate the approach into a web-based risk-screening tool.</t>
  </si>
  <si>
    <t>Very high. It covers multiple diseases, prediabetes and cardiovascular risk, directly compares laboratory versus non-laboratory predictors and supports a practical screening prototype.</t>
  </si>
  <si>
    <t>Use to justify routine clinical and survey features and model ensembles. Clearly separate its different reported AUROC results by disease and by availability of laboratory data.
Local evidence file: s12911-019-0918-5.pdf</t>
  </si>
  <si>
    <t>P05</t>
  </si>
  <si>
    <t>Machine Learning-Based Approach to the Diagnosis of Cardiovascular Vascular Disease Using a Combined Dataset</t>
  </si>
  <si>
    <t>Khandaker Mohammad Mohi Uddin; Rokaiya Ripa; Nilufar Yeasmin; Nitish Biswas; Samrat Kumar Dey</t>
  </si>
  <si>
    <t>Intelligence-Based Medicine, 7, Article 100100</t>
  </si>
  <si>
    <t>Cardiovascular disease diagnosis and risk classification using combined datasets</t>
  </si>
  <si>
    <t>Machine learning; medical diagnosis; heart disease; decision tree; combined dataset</t>
  </si>
  <si>
    <t>Three heart-disease datasets were combined and preprocessed. Ten classifiers were compared: Decision Tree, AdaBoost, Extra Trees, SVM, Gradient Boosting, Multilayer Perceptron, XGBoost, Random Forest, KNN and Logistic Regression. Models were evaluated using accuracy, precision, recall, F1-measure, confusion matrices and ROC curves; the best model was deployed in a web application.</t>
  </si>
  <si>
    <t>An author-constructed combined cardiovascular dataset created from three heart-disease datasets. The paper does not provide one clearly verified standalone download URL for the final combined dataset.
Paper/dataset description:
https://doi.org/10.1016/j.ibmed.2023.100100</t>
  </si>
  <si>
    <t>Decision Tree reported the highest accuracy of 99.16%, outperforming the other compared classifiers. The study also demonstrated a web-based cardiovascular diagnosis implementation.</t>
  </si>
  <si>
    <t>The very high result may reflect dataset merging, duplicates, leakage or overfitting if source harmonisation and independent external validation are insufficient. Generalisability to real hospitals and calibration were not established.</t>
  </si>
  <si>
    <t>Recommended extension: validate on a clearly separated external hospital cohort, document source-dataset harmonisation and duplicate handling, assess calibration and add explainable-AI analysis.</t>
  </si>
  <si>
    <t>High. It compares many algorithms, uses clinical cardiovascular features and includes a prototype. However, it is less directly aligned than the diabetes papers because the outcome is mainly binary and the extremely high accuracy needs cautious critical discussion.</t>
  </si>
  <si>
    <t>Medium</t>
  </si>
  <si>
    <t>Use as supporting evidence for broad model comparison and prototype development. Do not present 99.16% as automatically reliable; explicitly discuss overfitting and combined-dataset validation risk.
Local evidence file: 1-s2.0-S2666521223000145-main.pdf</t>
  </si>
  <si>
    <t>P06</t>
  </si>
  <si>
    <t>Early Detection of Chronic Kidney Disease in Men Using Lifestyle and Demographic Indicators: A Machine Learning Approach for Primary Healthcare Settings</t>
  </si>
  <si>
    <t>Mc Neil Valencia; Jun Kim; Zeeshan Abbas; Seung Won Lee</t>
  </si>
  <si>
    <t>Healthcare, 14(3), Article 405</t>
  </si>
  <si>
    <t>Explainable chronic-kidney-disease risk classification in primary healthcare</t>
  </si>
  <si>
    <t>Chronic kidney disease; machine learning; AdaBoost; lifestyle factors; demographic factors; eGFR; ACR</t>
  </si>
  <si>
    <t>NHANES files were merged and filtered to men aged 30-60. Missing categorical values received an Unknown category and numerical variables used median imputation. Random Forest, AdaBoost, Naive Bayes, SVM and XGBoost were trained with a 70/30 split. Accuracy, precision, recall, F1, ROC/PR analysis, SHAP, LIME, Boruta and correlation analysis were used.</t>
  </si>
  <si>
    <t>NHANES March 2020 pre-pandemic data: 968 male participants aged 30-60 after preprocessing. CKD labels were derived using eGFR and albumin-to-creatinine ratio information.
Dataset URL:
https://wwwn.cdc.gov/nchs/nhanes/</t>
  </si>
  <si>
    <t>AdaBoost produced the best overall result (reported accuracy approximately 0.726-0.729, recall 0.6923 and F1 0.6457; PR-AUC/AP 0.715). Serum creatinine, blood urea nitrogen, urinary creatinine and age were dominant predictors; BMI, diet and sleep were secondary factors.</t>
  </si>
  <si>
    <t>The cohort includes only middle-aged men, limiting sex and age generalisability. NHANES is cross-sectional and lifestyle variables are self-reported. The sample is relatively small, and prospective multicentre validation is absent.</t>
  </si>
  <si>
    <t>Validate across sexes, wider ages, multiple centres and populations; use longitudinal/time-series data and principled multiple imputation; add cystatin C, genetic and omics data; develop EHR-integrated risk cards, web or mobile tools.</t>
  </si>
  <si>
    <t>High. It shows how routine clinical, demographic and lifestyle data can support explainable disease-risk screening and provides realistic performance rather than near-perfect accuracy.</t>
  </si>
  <si>
    <t>Use for explainability, missing-data handling, lifestyle predictors and discussion of realistic clinical metrics. Note the male-only sampling restriction.
Local evidence file: healthcare-14-00405.pdf</t>
  </si>
  <si>
    <t>P07</t>
  </si>
  <si>
    <t>Integrating Body Composition Analysis and Machine Learning for Non-Invasive Identification of Metabolic Dysfunction-Associated Fatty Liver Disease: A Large-Scale Health Examination-Based Study</t>
  </si>
  <si>
    <t>Yaxuan He; Yu Cao; Zekai Chen; Rong Xiang; Fang Wang</t>
  </si>
  <si>
    <t>Scientific Reports, 16, Article 7038</t>
  </si>
  <si>
    <t>Non-invasive MAFLD identification using body-composition features and explainable machine learning</t>
  </si>
  <si>
    <t>MAFLD; body composition; visceral fat; bioelectrical impedance analysis; machine learning; screening</t>
  </si>
  <si>
    <t>A retrospective single-centre health-examination cohort was used. Thirteen demographic/body-composition features were selected after multicollinearity and importance analysis. Eight machine-learning models were evaluated using tenfold cross-validation, calibration and SHAP; a later-time-period cohort provided external validation and subgroup analyses were performed.</t>
  </si>
  <si>
    <t>Development cohort: 23,348 adults examined during 2017-2021. External temporal validation cohort: 3,357 adults from 2022-2023. Raw hospital data are restricted because of privacy and ethical requirements.
Analysis-code URL:
https://github.com/hyaxuan23-lab/ML-for-Non-Invasive-MAFLD-Identification</t>
  </si>
  <si>
    <t>Tree-based models, particularly XGBoost/GBDT/LightGBM, achieved very strong discrimination: internal AUC values above 0.96 and external AUC values above 0.95. Visceral fat rating was the strongest predictor, followed by waist circumference and BMI.</t>
  </si>
  <si>
    <t>The study is cross-sectional and single-centre; temporal validation is not the same as multicentre or multi-ethnic validation. BIA visceral-fat estimates are less accurate than CT/MRI, and detailed lifestyle variables were unavailable.</t>
  </si>
  <si>
    <t>Use prospective longitudinal, multicentre and multi-ethnic cohorts; include CT/MRI, lifestyle exposures, genomics, metabolomics and gut-microbiome data; integrate models into clinical workflows.</t>
  </si>
  <si>
    <t>High. It provides a strong example of large-sample development, external validation, model comparison, calibration and explainability using non-invasive clinical features, although the target is binary MAFLD.</t>
  </si>
  <si>
    <t>Use as the strongest methodological-quality example for validation and generalisability. Contrast its large cohorts with the SmartCare dataset's 1,000 records.
Local evidence file: s41598-026-37852-w.pdf</t>
  </si>
  <si>
    <t>P08</t>
  </si>
  <si>
    <t>Development of a Machine Learning-Based Model for Prediction of Diabetes Risk in Patients with Metabolic Dysfunction-Associated Steatotic Liver Disease (MASLD)</t>
  </si>
  <si>
    <t>Sijie Yang; Ruiqing Mo; Wenqiang Wang; Puxiang Zhen; Wentian Han</t>
  </si>
  <si>
    <t>BMJ Open, 16, Article e107239</t>
  </si>
  <si>
    <t>Diabetes risk classification in patients with MASLD</t>
  </si>
  <si>
    <t>Diabetes; MASLD; machine learning; LightGBM; feature selection; SHAP; NHANES</t>
  </si>
  <si>
    <t>NHANES 2007-2018 data were analysed. LASSO, Random Forest and SVM-RFE were used for feature selection. Nine machine-learning classifiers were compared using training/test data, cross-validation, discrimination, calibration and decision analysis. SMOTE addressed imbalance, and SHAP explained the selected model.</t>
  </si>
  <si>
    <t>NHANES 2007-2018: 6,310 participants with MASLD, divided into diabetes and non-diabetes groups. Eight final predictors were used.
Dataset URL:
https://wwwn.cdc.gov/nchs/nhanes/default.aspx</t>
  </si>
  <si>
    <t>LightGBM showed the most consistent overall performance and interpretability among the nine models. Eight important variables were selected; urinary albumin, age, total cholesterol and lipid accumulation product were among the strongest predictors.</t>
  </si>
  <si>
    <t>The cross-sectional dataset identifies current diabetes status rather than predicting future disease onset. Exact onset time is unavailable, and no independent external dataset was used. Findings apply specifically to people with MASLD.</t>
  </si>
  <si>
    <t>Validate using independent longitudinal cohorts and real-world clinical data to assess future-onset prediction, temporal stability and clinical applicability.</t>
  </si>
  <si>
    <t>High. It demonstrates a complete comparison pipeline with feature selection, class balancing, calibration and SHAP. It also provides an important warning about calling cross-sectional classification 'future risk prediction'.</t>
  </si>
  <si>
    <t>Use in the limitations/research-gap section to distinguish current-status classification from true future-risk prediction. Apply its feature-selection and explainability ideas where suitable.
Local evidence file: e107239.full.pdf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</si>
</sst>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6"/>
      <color rgb="FFFFFFFF"/>
      <name val="Carlito"/>
    </font>
    <font>
      <i/>
      <sz val="10"/>
      <color rgb="FF1F2937"/>
      <name val="Carlito"/>
    </font>
    <font>
      <b/>
      <sz val="10"/>
      <color rgb="FFFFFFFF"/>
      <name val="Carlito"/>
    </font>
    <font>
      <sz val="10"/>
      <color rgb="FF111827"/>
      <name val="Carlito"/>
    </font>
    <font>
      <sz val="10"/>
      <color rgb="FF0563C1"/>
      <name val="Carlito"/>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
      <patternFill patternType="solid">
        <fgColor rgb="FFDCE9F8"/>
      </patternFill>
    </fill>
    <fill>
      <patternFill patternType="solid">
        <fgColor rgb="FFFFF2CC"/>
      </patternFill>
    </fill>
    <fill>
      <patternFill patternType="solid">
        <fgColor rgb="FFE2F0D9"/>
      </patternFill>
    </fill>
    <fill>
      <patternFill patternType="solid">
        <fgColor rgb="FFFCE4D6"/>
      </patternFill>
    </fill>
    <fill>
      <patternFill patternType="solid">
        <fgColor rgb="FFEDF4FC"/>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B4C7E7"/>
      </left>
      <right style="thin">
        <color rgb="FFB4C7E7"/>
      </right>
      <top style="thin">
        <color rgb="FFB4C7E7"/>
      </top>
      <bottom style="thin">
        <color rgb="FFB4C7E7"/>
      </bottom>
      <diagonal/>
    </border>
  </borders>
  <cellStyleXfs count="1">
    <xf numFmtId="0" fontId="0" fillId="0" borderId="0"/>
  </cellStyleXfs>
  <cellXfs count="10">
    <xf numFmtId="0" fontId="0" fillId="0" borderId="0" xfId="0"/>
    <xf numFmtId="0" fontId="3" fillId="4" borderId="1" xfId="0" applyNumberFormat="1" applyFont="1" applyFill="1" applyBorder="1" applyAlignment="1">
      <alignment horizontal="center" vertical="center" wrapText="1"/>
    </xf>
    <xf numFmtId="0" fontId="4" fillId="5" borderId="2" xfId="0" applyNumberFormat="1" applyFont="1" applyFill="1" applyBorder="1" applyAlignment="1">
      <alignment vertical="top" wrapText="1"/>
    </xf>
    <xf numFmtId="0" fontId="4" fillId="5" borderId="2" xfId="0" applyNumberFormat="1" applyFont="1" applyFill="1" applyBorder="1" applyAlignment="1">
      <alignment horizontal="center" vertical="top" wrapText="1"/>
    </xf>
    <xf numFmtId="0" fontId="4" fillId="7" borderId="2" xfId="0" applyNumberFormat="1" applyFont="1" applyFill="1" applyBorder="1" applyAlignment="1">
      <alignment horizontal="center" vertical="top" wrapText="1"/>
    </xf>
    <xf numFmtId="0" fontId="4" fillId="8" borderId="2" xfId="0" applyNumberFormat="1" applyFont="1" applyFill="1" applyBorder="1" applyAlignment="1">
      <alignment horizontal="center" vertical="top" wrapText="1"/>
    </xf>
    <xf numFmtId="164" fontId="4" fillId="6" borderId="2" xfId="0" applyNumberFormat="1" applyFont="1" applyFill="1" applyBorder="1" applyAlignment="1">
      <alignment horizontal="center" vertical="top" wrapText="1"/>
    </xf>
    <xf numFmtId="0" fontId="5" fillId="9" borderId="2" xfId="0" applyNumberFormat="1" applyFont="1" applyFill="1" applyBorder="1" applyAlignment="1">
      <alignment horizontal="center" vertical="center" wrapText="1"/>
    </xf>
    <xf numFmtId="0" fontId="1" fillId="2" borderId="0" xfId="0" applyNumberFormat="1" applyFont="1" applyFill="1" applyBorder="1" applyAlignment="1">
      <alignment horizontal="left" vertical="center"/>
    </xf>
    <xf numFmtId="0" fontId="2" fillId="3" borderId="0" xfId="0" applyNumberFormat="1" applyFont="1" applyFill="1" applyBorder="1"/>
  </cellXfs>
  <cellStyles count="1">
    <cellStyle name="Normal" xfId="0" builtinId="0"/>
  </cellStyles>
  <dxfs count="3">
    <dxf>
      <font>
        <color rgb="FF7F6000"/>
      </font>
      <fill>
        <patternFill>
          <bgColor rgb="FFFFF2CC"/>
        </patternFill>
      </fill>
    </dxf>
    <dxf>
      <font>
        <color rgb="FF375623"/>
      </font>
      <fill>
        <patternFill>
          <bgColor rgb="FFE2F0D9"/>
        </patternFill>
      </fill>
    </dxf>
    <dxf>
      <font>
        <b/>
        <color rgb="FF375623"/>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b5519318e9f94590"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ltc:personList xmlns:xltc="http://schemas.microsoft.com/office/spreadsheetml/2018/threadedcomments">
  <xltc:person displayName="Volga Indeewari" id="{68D7F97A-F5B8-4835-BDF6-4B5E79726736}"/>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edReviewTable" displayName="DetailedReviewTable" ref="A3:S11" totalsRowShown="0">
  <autoFilter ref="A3:S11" xr:uid="{00000000-0009-0000-0100-000001000000}"/>
  <tableColumns count="19">
    <tableColumn id="1" xr3:uid="{00000000-0010-0000-0000-000001000000}" name="Paper ID"/>
    <tableColumn id="2" xr3:uid="{00000000-0010-0000-0000-000002000000}" name="Paper Title"/>
    <tableColumn id="3" xr3:uid="{00000000-0010-0000-0000-000003000000}" name="Authors"/>
    <tableColumn id="4" xr3:uid="{00000000-0010-0000-0000-000004000000}" name="Publication Year"/>
    <tableColumn id="5" xr3:uid="{00000000-0010-0000-0000-000005000000}" name="Journal / Conference"/>
    <tableColumn id="6" xr3:uid="{00000000-0010-0000-0000-000006000000}" name="Source Type"/>
    <tableColumn id="7" xr3:uid="{00000000-0010-0000-0000-000007000000}" name="Research Area"/>
    <tableColumn id="8" xr3:uid="{00000000-0010-0000-0000-000008000000}" name="Keywords"/>
    <tableColumn id="9" xr3:uid="{00000000-0010-0000-0000-000009000000}" name="Methodology"/>
    <tableColumn id="10" xr3:uid="{00000000-0010-0000-0000-00000A000000}" name="Dataset / Link"/>
    <tableColumn id="11" xr3:uid="{00000000-0010-0000-0000-00000B000000}" name="Key Findings"/>
    <tableColumn id="12" xr3:uid="{00000000-0010-0000-0000-00000C000000}" name="Research Gap"/>
    <tableColumn id="13" xr3:uid="{00000000-0010-0000-0000-00000D000000}" name="Future Work"/>
    <tableColumn id="14" xr3:uid="{00000000-0010-0000-0000-00000E000000}" name="Relevance to My Study"/>
    <tableColumn id="15" xr3:uid="{00000000-0010-0000-0000-00000F000000}" name="Quality Score"/>
    <tableColumn id="16" xr3:uid="{00000000-0010-0000-0000-000010000000}" name="Reading Status"/>
    <tableColumn id="17" xr3:uid="{00000000-0010-0000-0000-000011000000}" name="Priority"/>
    <tableColumn id="18" xr3:uid="{00000000-0010-0000-0000-000012000000}" name="Notes / Actions"/>
    <tableColumn id="19" xr3:uid="{00000000-0010-0000-0000-000013000000}" name="Source Lin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showGridLines="0" tabSelected="1" topLeftCell="G1" workbookViewId="0">
      <selection activeCell="J4" sqref="J4"/>
    </sheetView>
  </sheetViews>
  <sheetFormatPr defaultRowHeight="13.8"/>
  <cols>
    <col min="1" max="1" width="12" customWidth="1"/>
    <col min="2" max="2" width="46" customWidth="1"/>
    <col min="3" max="3" width="32" customWidth="1"/>
    <col min="4" max="4" width="13" customWidth="1"/>
    <col min="5" max="5" width="28" customWidth="1"/>
    <col min="6" max="6" width="22" customWidth="1"/>
    <col min="7" max="8" width="30" customWidth="1"/>
    <col min="9" max="9" width="58" customWidth="1"/>
    <col min="10" max="10" width="50" customWidth="1"/>
    <col min="11" max="11" width="58" customWidth="1"/>
    <col min="12" max="12" width="54" customWidth="1"/>
    <col min="13" max="13" width="50" customWidth="1"/>
    <col min="14" max="14" width="58" customWidth="1"/>
    <col min="15" max="15" width="13" customWidth="1"/>
    <col min="16" max="16" width="16" customWidth="1"/>
    <col min="17" max="17" width="12" customWidth="1"/>
    <col min="18" max="18" width="50" customWidth="1"/>
    <col min="19" max="19" width="38" customWidth="1"/>
  </cols>
  <sheetData>
    <row r="1" spans="1:19" ht="34.049999999999997" customHeight="1">
      <c r="A1" s="8" t="s">
        <v>0</v>
      </c>
      <c r="B1" s="8"/>
      <c r="C1" s="8"/>
      <c r="D1" s="8"/>
      <c r="E1" s="8"/>
      <c r="F1" s="8"/>
      <c r="G1" s="8"/>
      <c r="H1" s="8"/>
      <c r="I1" s="8"/>
      <c r="J1" s="8"/>
      <c r="K1" s="8"/>
      <c r="L1" s="8"/>
      <c r="M1" s="8"/>
      <c r="N1" s="8"/>
      <c r="O1" s="8"/>
      <c r="P1" s="8"/>
      <c r="Q1" s="8"/>
      <c r="R1" s="8"/>
      <c r="S1" s="8"/>
    </row>
    <row r="2" spans="1:19" ht="24" customHeight="1">
      <c r="A2" s="9" t="s">
        <v>1</v>
      </c>
      <c r="B2" s="9"/>
      <c r="C2" s="9"/>
      <c r="D2" s="9"/>
      <c r="E2" s="9"/>
      <c r="F2" s="9"/>
      <c r="G2" s="9"/>
      <c r="H2" s="9"/>
      <c r="I2" s="9"/>
      <c r="J2" s="9"/>
      <c r="K2" s="9"/>
      <c r="L2" s="9"/>
      <c r="M2" s="9"/>
      <c r="N2" s="9"/>
      <c r="O2" s="9"/>
      <c r="P2" s="9"/>
      <c r="Q2" s="9"/>
      <c r="R2" s="9"/>
      <c r="S2" s="9"/>
    </row>
    <row r="3" spans="1:19" ht="58.05"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row>
    <row r="4" spans="1:19" ht="285" customHeight="1">
      <c r="A4" s="3" t="s">
        <v>21</v>
      </c>
      <c r="B4" s="2" t="s">
        <v>22</v>
      </c>
      <c r="C4" s="2" t="s">
        <v>23</v>
      </c>
      <c r="D4" s="3">
        <v>2026</v>
      </c>
      <c r="E4" s="2" t="s">
        <v>24</v>
      </c>
      <c r="F4" s="2" t="s">
        <v>25</v>
      </c>
      <c r="G4" s="2" t="s">
        <v>26</v>
      </c>
      <c r="H4" s="2" t="s">
        <v>27</v>
      </c>
      <c r="I4" s="2" t="s">
        <v>28</v>
      </c>
      <c r="J4" s="2" t="s">
        <v>29</v>
      </c>
      <c r="K4" s="2" t="s">
        <v>30</v>
      </c>
      <c r="L4" s="2" t="s">
        <v>31</v>
      </c>
      <c r="M4" s="2" t="s">
        <v>32</v>
      </c>
      <c r="N4" s="2" t="s">
        <v>33</v>
      </c>
      <c r="O4" s="6">
        <v>4.3</v>
      </c>
      <c r="P4" s="4" t="s">
        <v>34</v>
      </c>
      <c r="Q4" s="5" t="s">
        <v>35</v>
      </c>
      <c r="R4" s="2" t="s">
        <v>36</v>
      </c>
      <c r="S4" s="7" t="str">
        <f>HYPERLINK("https://doi.org/10.1038/s41598-025-31562-5","Open Research Paper 1")</f>
        <v>Open Research Paper 1</v>
      </c>
    </row>
    <row r="5" spans="1:19" ht="285" customHeight="1">
      <c r="A5" s="3" t="s">
        <v>37</v>
      </c>
      <c r="B5" s="2" t="s">
        <v>38</v>
      </c>
      <c r="C5" s="2" t="s">
        <v>39</v>
      </c>
      <c r="D5" s="3">
        <v>2025</v>
      </c>
      <c r="E5" s="2" t="s">
        <v>40</v>
      </c>
      <c r="F5" s="2" t="s">
        <v>25</v>
      </c>
      <c r="G5" s="2" t="s">
        <v>41</v>
      </c>
      <c r="H5" s="2" t="s">
        <v>42</v>
      </c>
      <c r="I5" s="2" t="s">
        <v>43</v>
      </c>
      <c r="J5" s="2" t="s">
        <v>44</v>
      </c>
      <c r="K5" s="2" t="s">
        <v>45</v>
      </c>
      <c r="L5" s="2" t="s">
        <v>46</v>
      </c>
      <c r="M5" s="2" t="s">
        <v>47</v>
      </c>
      <c r="N5" s="2" t="s">
        <v>48</v>
      </c>
      <c r="O5" s="6">
        <v>4.5</v>
      </c>
      <c r="P5" s="4" t="s">
        <v>34</v>
      </c>
      <c r="Q5" s="5" t="s">
        <v>49</v>
      </c>
      <c r="R5" s="2" t="s">
        <v>50</v>
      </c>
      <c r="S5" s="7" t="str">
        <f>HYPERLINK("https://doi.org/10.1186/s12889-025-22419-7","Open Research Paper 2")</f>
        <v>Open Research Paper 2</v>
      </c>
    </row>
    <row r="6" spans="1:19" ht="285" customHeight="1">
      <c r="A6" s="3" t="s">
        <v>51</v>
      </c>
      <c r="B6" s="2" t="s">
        <v>52</v>
      </c>
      <c r="C6" s="2" t="s">
        <v>53</v>
      </c>
      <c r="D6" s="3">
        <v>2020</v>
      </c>
      <c r="E6" s="2" t="s">
        <v>54</v>
      </c>
      <c r="F6" s="2" t="s">
        <v>25</v>
      </c>
      <c r="G6" s="2" t="s">
        <v>55</v>
      </c>
      <c r="H6" s="2" t="s">
        <v>56</v>
      </c>
      <c r="I6" s="2" t="s">
        <v>57</v>
      </c>
      <c r="J6" s="2" t="s">
        <v>58</v>
      </c>
      <c r="K6" s="2" t="s">
        <v>59</v>
      </c>
      <c r="L6" s="2" t="s">
        <v>60</v>
      </c>
      <c r="M6" s="2" t="s">
        <v>61</v>
      </c>
      <c r="N6" s="2" t="s">
        <v>62</v>
      </c>
      <c r="O6" s="6">
        <v>4.5999999999999996</v>
      </c>
      <c r="P6" s="4" t="s">
        <v>34</v>
      </c>
      <c r="Q6" s="5" t="s">
        <v>49</v>
      </c>
      <c r="R6" s="2" t="s">
        <v>63</v>
      </c>
      <c r="S6" s="7" t="str">
        <f>HYPERLINK("https://doi.org/10.1038/s41598-020-61123-x","Open Research Paper 3")</f>
        <v>Open Research Paper 3</v>
      </c>
    </row>
    <row r="7" spans="1:19" ht="285" customHeight="1">
      <c r="A7" s="3" t="s">
        <v>64</v>
      </c>
      <c r="B7" s="2" t="s">
        <v>65</v>
      </c>
      <c r="C7" s="2" t="s">
        <v>66</v>
      </c>
      <c r="D7" s="3">
        <v>2019</v>
      </c>
      <c r="E7" s="2" t="s">
        <v>67</v>
      </c>
      <c r="F7" s="2" t="s">
        <v>25</v>
      </c>
      <c r="G7" s="2" t="s">
        <v>68</v>
      </c>
      <c r="H7" s="2" t="s">
        <v>69</v>
      </c>
      <c r="I7" s="2" t="s">
        <v>70</v>
      </c>
      <c r="J7" s="2" t="s">
        <v>71</v>
      </c>
      <c r="K7" s="2" t="s">
        <v>72</v>
      </c>
      <c r="L7" s="2" t="s">
        <v>73</v>
      </c>
      <c r="M7" s="2" t="s">
        <v>74</v>
      </c>
      <c r="N7" s="2" t="s">
        <v>75</v>
      </c>
      <c r="O7" s="6">
        <v>4.5</v>
      </c>
      <c r="P7" s="4" t="s">
        <v>34</v>
      </c>
      <c r="Q7" s="5" t="s">
        <v>49</v>
      </c>
      <c r="R7" s="2" t="s">
        <v>76</v>
      </c>
      <c r="S7" s="7" t="str">
        <f>HYPERLINK("https://doi.org/10.1186/s12911-019-0918-5","Open Research Paper 4")</f>
        <v>Open Research Paper 4</v>
      </c>
    </row>
    <row r="8" spans="1:19" ht="285" customHeight="1">
      <c r="A8" s="3" t="s">
        <v>77</v>
      </c>
      <c r="B8" s="2" t="s">
        <v>78</v>
      </c>
      <c r="C8" s="2" t="s">
        <v>79</v>
      </c>
      <c r="D8" s="3">
        <v>2023</v>
      </c>
      <c r="E8" s="2" t="s">
        <v>80</v>
      </c>
      <c r="F8" s="2" t="s">
        <v>25</v>
      </c>
      <c r="G8" s="2" t="s">
        <v>81</v>
      </c>
      <c r="H8" s="2" t="s">
        <v>82</v>
      </c>
      <c r="I8" s="2" t="s">
        <v>83</v>
      </c>
      <c r="J8" s="2" t="s">
        <v>84</v>
      </c>
      <c r="K8" s="2" t="s">
        <v>85</v>
      </c>
      <c r="L8" s="2" t="s">
        <v>86</v>
      </c>
      <c r="M8" s="2" t="s">
        <v>87</v>
      </c>
      <c r="N8" s="2" t="s">
        <v>88</v>
      </c>
      <c r="O8" s="6">
        <v>3.6</v>
      </c>
      <c r="P8" s="4" t="s">
        <v>34</v>
      </c>
      <c r="Q8" s="5" t="s">
        <v>89</v>
      </c>
      <c r="R8" s="2" t="s">
        <v>90</v>
      </c>
      <c r="S8" s="7" t="str">
        <f>HYPERLINK("https://doi.org/10.1016/j.ibmed.2023.100100","Open Research Paper 5")</f>
        <v>Open Research Paper 5</v>
      </c>
    </row>
    <row r="9" spans="1:19" ht="285" customHeight="1">
      <c r="A9" s="3" t="s">
        <v>91</v>
      </c>
      <c r="B9" s="2" t="s">
        <v>92</v>
      </c>
      <c r="C9" s="2" t="s">
        <v>93</v>
      </c>
      <c r="D9" s="3">
        <v>2026</v>
      </c>
      <c r="E9" s="2" t="s">
        <v>94</v>
      </c>
      <c r="F9" s="2" t="s">
        <v>25</v>
      </c>
      <c r="G9" s="2" t="s">
        <v>95</v>
      </c>
      <c r="H9" s="2" t="s">
        <v>96</v>
      </c>
      <c r="I9" s="2" t="s">
        <v>97</v>
      </c>
      <c r="J9" s="2" t="s">
        <v>98</v>
      </c>
      <c r="K9" s="2" t="s">
        <v>99</v>
      </c>
      <c r="L9" s="2" t="s">
        <v>100</v>
      </c>
      <c r="M9" s="2" t="s">
        <v>101</v>
      </c>
      <c r="N9" s="2" t="s">
        <v>102</v>
      </c>
      <c r="O9" s="6">
        <v>3.8</v>
      </c>
      <c r="P9" s="4" t="s">
        <v>34</v>
      </c>
      <c r="Q9" s="5" t="s">
        <v>89</v>
      </c>
      <c r="R9" s="2" t="s">
        <v>103</v>
      </c>
      <c r="S9" s="7" t="str">
        <f>HYPERLINK("https://doi.org/10.3390/healthcare14030405","Open Research Paper 6")</f>
        <v>Open Research Paper 6</v>
      </c>
    </row>
    <row r="10" spans="1:19" ht="285" customHeight="1">
      <c r="A10" s="3" t="s">
        <v>104</v>
      </c>
      <c r="B10" s="2" t="s">
        <v>105</v>
      </c>
      <c r="C10" s="2" t="s">
        <v>106</v>
      </c>
      <c r="D10" s="3">
        <v>2026</v>
      </c>
      <c r="E10" s="2" t="s">
        <v>107</v>
      </c>
      <c r="F10" s="2" t="s">
        <v>25</v>
      </c>
      <c r="G10" s="2" t="s">
        <v>108</v>
      </c>
      <c r="H10" s="2" t="s">
        <v>109</v>
      </c>
      <c r="I10" s="2" t="s">
        <v>110</v>
      </c>
      <c r="J10" s="2" t="s">
        <v>111</v>
      </c>
      <c r="K10" s="2" t="s">
        <v>112</v>
      </c>
      <c r="L10" s="2" t="s">
        <v>113</v>
      </c>
      <c r="M10" s="2" t="s">
        <v>114</v>
      </c>
      <c r="N10" s="2" t="s">
        <v>115</v>
      </c>
      <c r="O10" s="6">
        <v>4.7</v>
      </c>
      <c r="P10" s="4" t="s">
        <v>34</v>
      </c>
      <c r="Q10" s="5" t="s">
        <v>49</v>
      </c>
      <c r="R10" s="2" t="s">
        <v>116</v>
      </c>
      <c r="S10" s="7" t="str">
        <f>HYPERLINK("https://doi.org/10.1038/s41598-026-37852-w","Open Research Paper 7")</f>
        <v>Open Research Paper 7</v>
      </c>
    </row>
    <row r="11" spans="1:19" ht="285" customHeight="1">
      <c r="A11" s="3" t="s">
        <v>117</v>
      </c>
      <c r="B11" s="2" t="s">
        <v>118</v>
      </c>
      <c r="C11" s="2" t="s">
        <v>119</v>
      </c>
      <c r="D11" s="3">
        <v>2026</v>
      </c>
      <c r="E11" s="2" t="s">
        <v>120</v>
      </c>
      <c r="F11" s="2" t="s">
        <v>25</v>
      </c>
      <c r="G11" s="2" t="s">
        <v>121</v>
      </c>
      <c r="H11" s="2" t="s">
        <v>122</v>
      </c>
      <c r="I11" s="2" t="s">
        <v>123</v>
      </c>
      <c r="J11" s="2" t="s">
        <v>124</v>
      </c>
      <c r="K11" s="2" t="s">
        <v>125</v>
      </c>
      <c r="L11" s="2" t="s">
        <v>126</v>
      </c>
      <c r="M11" s="2" t="s">
        <v>127</v>
      </c>
      <c r="N11" s="2" t="s">
        <v>128</v>
      </c>
      <c r="O11" s="6">
        <v>4.4000000000000004</v>
      </c>
      <c r="P11" s="4" t="s">
        <v>34</v>
      </c>
      <c r="Q11" s="5" t="s">
        <v>49</v>
      </c>
      <c r="R11" s="2" t="s">
        <v>129</v>
      </c>
      <c r="S11" s="7" t="str">
        <f>HYPERLINK("https://doi.org/10.1136/bmjopen-2025-107239","Open Research Paper 8")</f>
        <v>Open Research Paper 8</v>
      </c>
    </row>
  </sheetData>
  <mergeCells count="2">
    <mergeCell ref="A1:S1"/>
    <mergeCell ref="A2:S2"/>
  </mergeCells>
  <conditionalFormatting sqref="O4:O11">
    <cfRule type="colorScale" priority="1">
      <colorScale>
        <cfvo type="min"/>
        <cfvo type="percentile" val="50"/>
        <cfvo type="max"/>
        <color rgb="FFF4CCCC"/>
        <color rgb="FFFFF2CC"/>
        <color rgb="FFD9EAD3"/>
      </colorScale>
    </cfRule>
  </conditionalFormatting>
  <conditionalFormatting sqref="Q4:Q11">
    <cfRule type="containsText" dxfId="2" priority="2" operator="containsText" text="Highest"/>
    <cfRule type="containsText" dxfId="1" priority="3" operator="containsText" text="High"/>
    <cfRule type="containsText" dxfId="0" priority="4" operator="containsText" text="Medium"/>
  </conditionalFormatting>
  <dataValidations count="2">
    <dataValidation type="list" sqref="P4:P11" xr:uid="{00000000-0002-0000-0000-000000000000}">
      <formula1>"Not Started,Reviewed,Re-read,Complete"</formula1>
    </dataValidation>
    <dataValidation type="list" sqref="Q4:Q11" xr:uid="{00000000-0002-0000-0000-000001000000}">
      <formula1>"Highest,High,Medium,Low"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Volga Indeewari</dc:creator>
  <cp:lastModifiedBy>Volga Indeewari</cp:lastModifiedBy>
  <dcterms:created xsi:type="dcterms:W3CDTF">2026-07-28T09:12:30Z</dcterms:created>
  <dcterms:modified xsi:type="dcterms:W3CDTF">2026-07-28T09:12:30Z</dcterms:modified>
</cp:coreProperties>
</file>